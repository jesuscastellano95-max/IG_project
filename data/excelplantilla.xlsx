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sus\curso pandas\IG_project\data\"/>
    </mc:Choice>
  </mc:AlternateContent>
  <xr:revisionPtr revIDLastSave="0" documentId="13_ncr:1_{15698755-4C0F-4772-A825-2121597D18F1}" xr6:coauthVersionLast="47" xr6:coauthVersionMax="47" xr10:uidLastSave="{00000000-0000-0000-0000-000000000000}"/>
  <bookViews>
    <workbookView xWindow="-120" yWindow="-120" windowWidth="29040" windowHeight="15720" activeTab="1" xr2:uid="{BCDE5258-4E93-4804-8128-842F739F217B}"/>
  </bookViews>
  <sheets>
    <sheet name="OTO MELARA" sheetId="1" r:id="rId1"/>
    <sheet name="105_51" sheetId="3" r:id="rId2"/>
    <sheet name="G.M. Rompedora y fumígena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D7" i="3"/>
  <c r="D8" i="3"/>
  <c r="D9" i="3"/>
  <c r="D10" i="3"/>
  <c r="D11" i="3"/>
  <c r="H3" i="3"/>
  <c r="H4" i="3"/>
  <c r="H5" i="3"/>
  <c r="H6" i="3"/>
  <c r="H2" i="3"/>
  <c r="D3" i="3"/>
  <c r="D4" i="3"/>
  <c r="D5" i="3"/>
  <c r="D6" i="3"/>
  <c r="D2" i="3"/>
</calcChain>
</file>

<file path=xl/sharedStrings.xml><?xml version="1.0" encoding="utf-8"?>
<sst xmlns="http://schemas.openxmlformats.org/spreadsheetml/2006/main" count="83" uniqueCount="24">
  <si>
    <t>V1</t>
  </si>
  <si>
    <t>V2</t>
  </si>
  <si>
    <t>VMEDIA</t>
  </si>
  <si>
    <t>VMEDIACOR</t>
  </si>
  <si>
    <t>PMEDIA</t>
  </si>
  <si>
    <t>Espoleta</t>
  </si>
  <si>
    <t>Estopín</t>
  </si>
  <si>
    <t>Correcto</t>
  </si>
  <si>
    <t>P1</t>
  </si>
  <si>
    <t>P2</t>
  </si>
  <si>
    <t>CARGA 1</t>
  </si>
  <si>
    <t>CARGA MÁXIMA</t>
  </si>
  <si>
    <t>VMED (C1)</t>
  </si>
  <si>
    <t>V1 (C1)</t>
  </si>
  <si>
    <t>V2 (C1)</t>
  </si>
  <si>
    <t>V1 (CMAX)</t>
  </si>
  <si>
    <t>V2 (CMAX)</t>
  </si>
  <si>
    <t>VMED (CMAX)</t>
  </si>
  <si>
    <t>Serie</t>
  </si>
  <si>
    <t>Vuelo</t>
  </si>
  <si>
    <t>tiempo_traza</t>
  </si>
  <si>
    <t>Vo=1173m/s</t>
  </si>
  <si>
    <t>separacion_partes_metalicas</t>
  </si>
  <si>
    <t>fallo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</si>
</sst>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2" fontId="0" fillId="0" borderId="1" xfId="0" applyNumberFormat="1" applyBorder="1" applyAlignment="1" applyProtection="1">
      <alignment horizontal="right"/>
      <protection locked="0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2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35DEB-C7CC-4B78-AECF-CBD040F45BCD}">
  <dimension ref="C1:M6"/>
  <sheetViews>
    <sheetView workbookViewId="0">
      <selection activeCell="L9" sqref="L9"/>
    </sheetView>
  </sheetViews>
  <sheetFormatPr defaultRowHeight="15" x14ac:dyDescent="0.25"/>
  <cols>
    <col min="3" max="3" width="12.28515625" customWidth="1"/>
    <col min="6" max="6" width="21.42578125" customWidth="1"/>
    <col min="8" max="8" width="17.140625" customWidth="1"/>
    <col min="12" max="12" width="28.28515625" customWidth="1"/>
    <col min="13" max="13" width="16.140625" customWidth="1"/>
  </cols>
  <sheetData>
    <row r="1" spans="3:13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8</v>
      </c>
      <c r="H1" s="1" t="s">
        <v>9</v>
      </c>
      <c r="I1" s="1" t="s">
        <v>4</v>
      </c>
      <c r="J1" s="1" t="s">
        <v>5</v>
      </c>
      <c r="K1" s="1" t="s">
        <v>6</v>
      </c>
      <c r="L1" s="6" t="s">
        <v>22</v>
      </c>
      <c r="M1" s="6" t="s">
        <v>19</v>
      </c>
    </row>
    <row r="2" spans="3:13" x14ac:dyDescent="0.25">
      <c r="C2" s="2">
        <v>916.42</v>
      </c>
      <c r="D2" s="2">
        <v>916.75</v>
      </c>
      <c r="E2" s="3">
        <v>916.58500000000004</v>
      </c>
      <c r="F2" s="3">
        <v>912.19915450000008</v>
      </c>
      <c r="G2" s="3">
        <v>2998.07</v>
      </c>
      <c r="H2" s="3">
        <v>3061.56</v>
      </c>
      <c r="I2" s="3">
        <v>3029.8150000000001</v>
      </c>
      <c r="J2" s="4" t="s">
        <v>7</v>
      </c>
      <c r="K2" s="4" t="s">
        <v>7</v>
      </c>
    </row>
    <row r="3" spans="3:13" x14ac:dyDescent="0.25">
      <c r="C3" s="2">
        <v>916.49</v>
      </c>
      <c r="D3" s="2">
        <v>916.88</v>
      </c>
      <c r="E3" s="3">
        <v>916.68499999999995</v>
      </c>
      <c r="F3" s="3">
        <v>912.29915449999999</v>
      </c>
      <c r="G3" s="3">
        <v>3118.26</v>
      </c>
      <c r="H3" s="3">
        <v>3121.26</v>
      </c>
      <c r="I3" s="3">
        <v>3119.76</v>
      </c>
      <c r="J3" s="4" t="s">
        <v>7</v>
      </c>
      <c r="K3" s="4" t="s">
        <v>7</v>
      </c>
    </row>
    <row r="4" spans="3:13" x14ac:dyDescent="0.25">
      <c r="C4" s="2">
        <v>915.24</v>
      </c>
      <c r="D4" s="2">
        <v>915.67</v>
      </c>
      <c r="E4" s="3">
        <v>915.45499999999993</v>
      </c>
      <c r="F4" s="3">
        <v>911.06915449999997</v>
      </c>
      <c r="G4" s="3">
        <v>3065.13</v>
      </c>
      <c r="H4" s="3">
        <v>3055.02</v>
      </c>
      <c r="I4" s="3">
        <v>3060.0749999999998</v>
      </c>
      <c r="J4" s="4" t="s">
        <v>7</v>
      </c>
      <c r="K4" s="4" t="s">
        <v>7</v>
      </c>
    </row>
    <row r="5" spans="3:13" x14ac:dyDescent="0.25">
      <c r="C5" s="2">
        <v>914.07</v>
      </c>
      <c r="D5" s="2">
        <v>914.45</v>
      </c>
      <c r="E5" s="3">
        <v>914.26</v>
      </c>
      <c r="F5" s="3">
        <v>909.87415450000003</v>
      </c>
      <c r="G5" s="3">
        <v>3056.8</v>
      </c>
      <c r="H5" s="3">
        <v>3057.4</v>
      </c>
      <c r="I5" s="3">
        <v>3057.1000000000004</v>
      </c>
      <c r="J5" s="4" t="s">
        <v>7</v>
      </c>
      <c r="K5" s="4" t="s">
        <v>7</v>
      </c>
    </row>
    <row r="6" spans="3:13" x14ac:dyDescent="0.25">
      <c r="C6" s="2">
        <v>913.46</v>
      </c>
      <c r="D6" s="2">
        <v>914.09</v>
      </c>
      <c r="E6" s="3">
        <v>913.77500000000009</v>
      </c>
      <c r="F6" s="3">
        <v>909.38915450000013</v>
      </c>
      <c r="G6" s="3">
        <v>2947.32</v>
      </c>
      <c r="H6" s="3">
        <v>3049.67</v>
      </c>
      <c r="I6" s="3">
        <v>2998.4949999999999</v>
      </c>
      <c r="J6" s="4" t="s">
        <v>7</v>
      </c>
      <c r="K6" s="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7F471-9B04-4A6B-B21C-CFABD149F1B5}">
  <dimension ref="A1:P11"/>
  <sheetViews>
    <sheetView tabSelected="1" workbookViewId="0">
      <selection activeCell="G23" sqref="G23"/>
    </sheetView>
  </sheetViews>
  <sheetFormatPr defaultRowHeight="15" x14ac:dyDescent="0.25"/>
  <cols>
    <col min="11" max="11" width="27.28515625" bestFit="1" customWidth="1"/>
    <col min="12" max="12" width="17" customWidth="1"/>
    <col min="13" max="13" width="17.28515625" customWidth="1"/>
    <col min="16" max="16" width="11.85546875" bestFit="1" customWidth="1"/>
  </cols>
  <sheetData>
    <row r="1" spans="1:16" x14ac:dyDescent="0.25">
      <c r="A1" s="1" t="s">
        <v>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8</v>
      </c>
      <c r="G1" s="1" t="s">
        <v>9</v>
      </c>
      <c r="H1" s="1" t="s">
        <v>4</v>
      </c>
      <c r="I1" s="1" t="s">
        <v>5</v>
      </c>
      <c r="J1" s="1" t="s">
        <v>6</v>
      </c>
      <c r="K1" s="1" t="s">
        <v>22</v>
      </c>
      <c r="L1" s="1" t="s">
        <v>19</v>
      </c>
      <c r="M1" s="1" t="s">
        <v>20</v>
      </c>
    </row>
    <row r="2" spans="1:16" x14ac:dyDescent="0.25">
      <c r="A2" s="4">
        <v>21</v>
      </c>
      <c r="B2" s="4">
        <v>1167.1300000000001</v>
      </c>
      <c r="C2" s="4">
        <v>1167.05</v>
      </c>
      <c r="D2" s="5">
        <f>AVERAGE(B2:C2)</f>
        <v>1167.0900000000001</v>
      </c>
      <c r="E2" s="4">
        <v>1167.0899999999999</v>
      </c>
      <c r="F2" s="4">
        <v>393.87</v>
      </c>
      <c r="G2" s="4">
        <v>393.35</v>
      </c>
      <c r="H2" s="5">
        <f>AVERAGE(F2:G2)</f>
        <v>393.61</v>
      </c>
      <c r="I2" s="4" t="s">
        <v>7</v>
      </c>
      <c r="J2" s="4" t="s">
        <v>7</v>
      </c>
      <c r="K2" s="4" t="s">
        <v>7</v>
      </c>
      <c r="L2" s="4" t="s">
        <v>7</v>
      </c>
      <c r="M2" s="4">
        <v>6.53</v>
      </c>
      <c r="P2" t="s">
        <v>21</v>
      </c>
    </row>
    <row r="3" spans="1:16" x14ac:dyDescent="0.25">
      <c r="A3" s="4">
        <v>21</v>
      </c>
      <c r="B3" s="4">
        <v>1171.6099999999999</v>
      </c>
      <c r="C3" s="4">
        <v>1171.8800000000001</v>
      </c>
      <c r="D3" s="5">
        <f t="shared" ref="D3:D11" si="0">AVERAGE(B3:C3)</f>
        <v>1171.7449999999999</v>
      </c>
      <c r="E3" s="4">
        <v>1171.75</v>
      </c>
      <c r="F3" s="4">
        <v>397.57</v>
      </c>
      <c r="G3" s="4">
        <v>402.71</v>
      </c>
      <c r="H3" s="5">
        <f t="shared" ref="H3:H11" si="1">AVERAGE(F3:G3)</f>
        <v>400.14</v>
      </c>
      <c r="I3" s="4" t="s">
        <v>23</v>
      </c>
      <c r="J3" s="4" t="s">
        <v>7</v>
      </c>
      <c r="K3" s="4" t="s">
        <v>7</v>
      </c>
      <c r="L3" s="4" t="s">
        <v>7</v>
      </c>
      <c r="M3" s="4">
        <v>6.96</v>
      </c>
    </row>
    <row r="4" spans="1:16" x14ac:dyDescent="0.25">
      <c r="A4" s="4">
        <v>21</v>
      </c>
      <c r="B4" s="4">
        <v>1177.93</v>
      </c>
      <c r="C4" s="4">
        <v>1178.3699999999999</v>
      </c>
      <c r="D4" s="5">
        <f t="shared" si="0"/>
        <v>1178.1500000000001</v>
      </c>
      <c r="E4" s="4">
        <v>1178.1500000000001</v>
      </c>
      <c r="F4" s="4">
        <v>404.09</v>
      </c>
      <c r="G4" s="4">
        <v>403.96</v>
      </c>
      <c r="H4" s="5">
        <f t="shared" si="1"/>
        <v>404.02499999999998</v>
      </c>
      <c r="I4" s="4" t="s">
        <v>23</v>
      </c>
      <c r="J4" s="4" t="s">
        <v>7</v>
      </c>
      <c r="K4" s="4" t="s">
        <v>7</v>
      </c>
      <c r="L4" s="4" t="s">
        <v>7</v>
      </c>
      <c r="M4" s="4">
        <v>6.61</v>
      </c>
    </row>
    <row r="5" spans="1:16" x14ac:dyDescent="0.25">
      <c r="A5" s="4">
        <v>21</v>
      </c>
      <c r="B5" s="4">
        <v>1181.04</v>
      </c>
      <c r="C5" s="4">
        <v>1180.69</v>
      </c>
      <c r="D5" s="5">
        <f t="shared" si="0"/>
        <v>1180.865</v>
      </c>
      <c r="E5" s="4">
        <v>1180.8699999999999</v>
      </c>
      <c r="F5" s="4">
        <v>405.26</v>
      </c>
      <c r="G5" s="4">
        <v>404.67</v>
      </c>
      <c r="H5" s="5">
        <f t="shared" si="1"/>
        <v>404.96500000000003</v>
      </c>
      <c r="I5" s="4" t="s">
        <v>7</v>
      </c>
      <c r="J5" s="4" t="s">
        <v>7</v>
      </c>
      <c r="K5" s="4" t="s">
        <v>7</v>
      </c>
      <c r="L5" s="4" t="s">
        <v>7</v>
      </c>
      <c r="M5" s="4">
        <v>6.49</v>
      </c>
    </row>
    <row r="6" spans="1:16" x14ac:dyDescent="0.25">
      <c r="A6" s="4">
        <v>21</v>
      </c>
      <c r="B6" s="4">
        <v>1177.67</v>
      </c>
      <c r="C6" s="4">
        <v>1177.26</v>
      </c>
      <c r="D6" s="5">
        <f t="shared" si="0"/>
        <v>1177.4650000000001</v>
      </c>
      <c r="E6" s="4">
        <v>1177.47</v>
      </c>
      <c r="F6" s="4">
        <v>403.69</v>
      </c>
      <c r="G6" s="4">
        <v>404.48</v>
      </c>
      <c r="H6" s="5">
        <f t="shared" si="1"/>
        <v>404.08500000000004</v>
      </c>
      <c r="I6" s="4" t="s">
        <v>7</v>
      </c>
      <c r="J6" s="4" t="s">
        <v>7</v>
      </c>
      <c r="K6" s="4" t="s">
        <v>7</v>
      </c>
      <c r="L6" s="4" t="s">
        <v>7</v>
      </c>
      <c r="M6" s="4">
        <v>6.45</v>
      </c>
    </row>
    <row r="7" spans="1:16" x14ac:dyDescent="0.25">
      <c r="A7" s="4">
        <v>-35</v>
      </c>
      <c r="B7" s="4">
        <v>1131.94</v>
      </c>
      <c r="C7" s="4">
        <v>1131.53</v>
      </c>
      <c r="D7" s="5">
        <f t="shared" si="0"/>
        <v>1131.7350000000001</v>
      </c>
      <c r="E7" s="4">
        <v>1131.74</v>
      </c>
      <c r="F7" s="5">
        <v>380.64789999999999</v>
      </c>
      <c r="G7" s="5">
        <v>379.59679999999997</v>
      </c>
      <c r="H7" s="5">
        <f t="shared" si="1"/>
        <v>380.12234999999998</v>
      </c>
      <c r="I7" s="4" t="s">
        <v>7</v>
      </c>
      <c r="J7" s="4" t="s">
        <v>7</v>
      </c>
      <c r="K7" s="4" t="s">
        <v>7</v>
      </c>
      <c r="L7" s="4" t="s">
        <v>7</v>
      </c>
      <c r="M7" s="4">
        <v>6.59</v>
      </c>
    </row>
    <row r="8" spans="1:16" x14ac:dyDescent="0.25">
      <c r="A8" s="4">
        <v>-35</v>
      </c>
      <c r="B8" s="4">
        <v>1131.19</v>
      </c>
      <c r="C8" s="4">
        <v>1130.3599999999999</v>
      </c>
      <c r="D8" s="5">
        <f t="shared" si="0"/>
        <v>1130.7750000000001</v>
      </c>
      <c r="E8" s="4">
        <v>1130.78</v>
      </c>
      <c r="F8" s="5">
        <v>376.2278</v>
      </c>
      <c r="G8" s="5">
        <v>377.19959999999998</v>
      </c>
      <c r="H8" s="5">
        <f t="shared" si="1"/>
        <v>376.71370000000002</v>
      </c>
      <c r="I8" s="4" t="s">
        <v>7</v>
      </c>
      <c r="J8" s="4" t="s">
        <v>7</v>
      </c>
      <c r="K8" s="4" t="s">
        <v>7</v>
      </c>
      <c r="L8" s="4" t="s">
        <v>7</v>
      </c>
      <c r="M8" s="4">
        <v>6.96</v>
      </c>
    </row>
    <row r="9" spans="1:16" x14ac:dyDescent="0.25">
      <c r="A9" s="4">
        <v>-35</v>
      </c>
      <c r="B9" s="4">
        <v>1129.55</v>
      </c>
      <c r="C9" s="4">
        <v>1129.1500000000001</v>
      </c>
      <c r="D9" s="5">
        <f t="shared" si="0"/>
        <v>1129.3499999999999</v>
      </c>
      <c r="E9" s="4">
        <v>1129.3499999999999</v>
      </c>
      <c r="F9" s="5">
        <v>373.8408</v>
      </c>
      <c r="G9" s="5">
        <v>383.2063</v>
      </c>
      <c r="H9" s="5">
        <f t="shared" si="1"/>
        <v>378.52355</v>
      </c>
      <c r="I9" s="4" t="s">
        <v>7</v>
      </c>
      <c r="J9" s="4" t="s">
        <v>7</v>
      </c>
      <c r="K9" s="4" t="s">
        <v>7</v>
      </c>
      <c r="L9" s="4" t="s">
        <v>7</v>
      </c>
      <c r="M9" s="4">
        <v>7.19</v>
      </c>
    </row>
    <row r="10" spans="1:16" x14ac:dyDescent="0.25">
      <c r="A10" s="4">
        <v>-35</v>
      </c>
      <c r="B10" s="4">
        <v>1136.04</v>
      </c>
      <c r="C10" s="4">
        <v>1135.4100000000001</v>
      </c>
      <c r="D10" s="5">
        <f t="shared" si="0"/>
        <v>1135.7249999999999</v>
      </c>
      <c r="E10" s="4">
        <v>1135.73</v>
      </c>
      <c r="F10" s="5">
        <v>383.2817</v>
      </c>
      <c r="G10" s="5">
        <v>387.1352</v>
      </c>
      <c r="H10" s="5">
        <f t="shared" si="1"/>
        <v>385.20844999999997</v>
      </c>
      <c r="I10" s="4" t="s">
        <v>7</v>
      </c>
      <c r="J10" s="4" t="s">
        <v>7</v>
      </c>
      <c r="K10" s="4" t="s">
        <v>7</v>
      </c>
      <c r="L10" s="4" t="s">
        <v>7</v>
      </c>
      <c r="M10" s="4">
        <v>7.13</v>
      </c>
    </row>
    <row r="11" spans="1:16" x14ac:dyDescent="0.25">
      <c r="A11" s="4">
        <v>-35</v>
      </c>
      <c r="B11" s="4">
        <v>1126.02</v>
      </c>
      <c r="C11" s="4">
        <v>1125.3599999999999</v>
      </c>
      <c r="D11" s="5">
        <f t="shared" si="0"/>
        <v>1125.69</v>
      </c>
      <c r="E11" s="4">
        <v>1125.69</v>
      </c>
      <c r="F11" s="5">
        <v>372.94760000000002</v>
      </c>
      <c r="G11" s="5">
        <v>374.0643</v>
      </c>
      <c r="H11" s="5">
        <f t="shared" si="1"/>
        <v>373.50594999999998</v>
      </c>
      <c r="I11" s="4" t="s">
        <v>7</v>
      </c>
      <c r="J11" s="4" t="s">
        <v>7</v>
      </c>
      <c r="K11" s="4" t="s">
        <v>7</v>
      </c>
      <c r="L11" s="4" t="s">
        <v>7</v>
      </c>
      <c r="M11" s="4">
        <v>6.44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C37D3-CA03-4C85-9F91-82C86E07EA81}">
  <dimension ref="A1:Z1"/>
  <sheetViews>
    <sheetView workbookViewId="0">
      <selection activeCell="C2" sqref="C2"/>
    </sheetView>
  </sheetViews>
  <sheetFormatPr defaultRowHeight="15" x14ac:dyDescent="0.25"/>
  <cols>
    <col min="5" max="5" width="10.7109375" customWidth="1"/>
    <col min="22" max="22" width="15.85546875" customWidth="1"/>
    <col min="24" max="24" width="13.28515625" customWidth="1"/>
    <col min="25" max="25" width="11.7109375" customWidth="1"/>
    <col min="26" max="26" width="15.140625" customWidth="1"/>
  </cols>
  <sheetData>
    <row r="1" spans="1:26" x14ac:dyDescent="0.25">
      <c r="A1" t="s">
        <v>10</v>
      </c>
      <c r="C1" t="s">
        <v>13</v>
      </c>
      <c r="D1" t="s">
        <v>14</v>
      </c>
      <c r="E1" t="s">
        <v>12</v>
      </c>
      <c r="V1" t="s">
        <v>11</v>
      </c>
      <c r="X1" t="s">
        <v>15</v>
      </c>
      <c r="Y1" t="s">
        <v>16</v>
      </c>
      <c r="Z1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OTO MELARA</vt:lpstr>
      <vt:lpstr>105_51</vt:lpstr>
      <vt:lpstr>G.M. Rompedora y fumígena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Castellano chillas</dc:creator>
  <cp:lastModifiedBy>Jesus Castellano chillas</cp:lastModifiedBy>
  <dcterms:created xsi:type="dcterms:W3CDTF">2025-12-09T18:57:15Z</dcterms:created>
  <dcterms:modified xsi:type="dcterms:W3CDTF">2026-04-23T12:10:17Z</dcterms:modified>
</cp:coreProperties>
</file>